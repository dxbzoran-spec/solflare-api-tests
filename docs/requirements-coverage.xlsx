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ments Coverage" sheetId="2" state="visible" r:id="rId2"/>
    <sheet xmlns:r="http://schemas.openxmlformats.org/officeDocument/2006/relationships" name="Test Inventory" sheetId="3" state="visible" r:id="rId3"/>
    <sheet xmlns:r="http://schemas.openxmlformats.org/officeDocument/2006/relationships" name="API Observations" sheetId="4" state="visible" r:id="rId4"/>
  </sheets>
  <definedNames>
    <definedName name="_xlnm._FilterDatabase" localSheetId="1" hidden="1">'Requirements Coverage'!$A$1:$G$24</definedName>
    <definedName name="_xlnm._FilterDatabase" localSheetId="2" hidden="1">'Test Inventory'!$A$1:$I$33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5700"/>
        <sz val="10"/>
      </font>
      <fill>
        <patternFill patternType="solid">
          <f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Solflare Wallet API tests: requirements coverage</t>
        </is>
      </c>
    </row>
    <row r="3">
      <c r="A3" s="2" t="inlineStr">
        <is>
          <t>Repository</t>
        </is>
      </c>
      <c r="B3" s="3" t="inlineStr">
        <is>
          <t>https://github.com/dxbzoran-spec/solflare-api-tests</t>
        </is>
      </c>
    </row>
    <row r="4">
      <c r="A4" s="2" t="inlineStr">
        <is>
          <t>Source of requirements</t>
        </is>
      </c>
      <c r="B4" s="3" t="inlineStr">
        <is>
          <t>Hiring Technical Assignments - QA Automation Backend.pdf, part 2 (API testing)</t>
        </is>
      </c>
    </row>
    <row r="5">
      <c r="A5" s="2" t="inlineStr">
        <is>
          <t>Framework</t>
        </is>
      </c>
      <c r="B5" s="3" t="inlineStr">
        <is>
          <t>Playwright request API + TypeScript, zod response contracts</t>
        </is>
      </c>
    </row>
    <row r="6">
      <c r="A6" s="2" t="inlineStr">
        <is>
          <t>Last full run</t>
        </is>
      </c>
      <c r="B6" s="3" t="inlineStr">
        <is>
          <t>2026-10-26, live API (local and GitHub Actions)</t>
        </is>
      </c>
    </row>
    <row r="8">
      <c r="A8" s="4" t="inlineStr">
        <is>
          <t>Requirements</t>
        </is>
      </c>
    </row>
    <row r="9">
      <c r="A9" s="3" t="inlineStr">
        <is>
          <t>Total requirements</t>
        </is>
      </c>
      <c r="B9" s="3">
        <f>COUNTA('Requirements Coverage'!A:A)-1</f>
        <v/>
      </c>
    </row>
    <row r="10">
      <c r="A10" s="3" t="inlineStr">
        <is>
          <t>Covered</t>
        </is>
      </c>
      <c r="B10" s="3">
        <f>COUNTIF('Requirements Coverage'!F:F,"Covered")</f>
        <v/>
      </c>
    </row>
    <row r="11">
      <c r="A11" s="3" t="inlineStr">
        <is>
          <t>Partially covered</t>
        </is>
      </c>
      <c r="B11" s="3">
        <f>COUNTIF('Requirements Coverage'!F:F,"Partially covered")</f>
        <v/>
      </c>
    </row>
    <row r="12">
      <c r="A12" s="3" t="inlineStr">
        <is>
          <t>Not covered</t>
        </is>
      </c>
      <c r="B12" s="3">
        <f>COUNTIF('Requirements Coverage'!F:F,"Not covered")</f>
        <v/>
      </c>
    </row>
    <row r="13">
      <c r="A13" s="3" t="inlineStr">
        <is>
          <t>Coverage %</t>
        </is>
      </c>
      <c r="B13" s="5">
        <f>IFERROR(B10/B9,0)</f>
        <v/>
      </c>
    </row>
    <row r="15">
      <c r="A15" s="4" t="inlineStr">
        <is>
          <t>Tests</t>
        </is>
      </c>
    </row>
    <row r="16">
      <c r="A16" s="3" t="inlineStr">
        <is>
          <t>Total tests</t>
        </is>
      </c>
      <c r="B16" s="3">
        <f>COUNTA('Test Inventory'!A:A)-1</f>
        <v/>
      </c>
    </row>
    <row r="17">
      <c r="A17" s="3" t="inlineStr">
        <is>
          <t>Scenario 1</t>
        </is>
      </c>
      <c r="B17" s="3">
        <f>COUNTIF('Test Inventory'!D:D,"Scenario 1")</f>
        <v/>
      </c>
    </row>
    <row r="18">
      <c r="A18" s="3" t="inlineStr">
        <is>
          <t>Scenario 2</t>
        </is>
      </c>
      <c r="B18" s="3">
        <f>COUNTIF('Test Inventory'!D:D,"Scenario 2")</f>
        <v/>
      </c>
    </row>
    <row r="19">
      <c r="A19" s="3" t="inlineStr">
        <is>
          <t>Positive / extra</t>
        </is>
      </c>
      <c r="B19" s="3">
        <f>COUNTIF('Test Inventory'!D:D,"Positive / extra")</f>
        <v/>
      </c>
    </row>
    <row r="20">
      <c r="A20" s="3" t="inlineStr">
        <is>
          <t>Negative</t>
        </is>
      </c>
      <c r="B20" s="3">
        <f>COUNTIF('Test Inventory'!D:D,"Negative")</f>
        <v/>
      </c>
    </row>
    <row r="21">
      <c r="A21" s="3" t="inlineStr">
        <is>
          <t>Passed (last run)</t>
        </is>
      </c>
      <c r="B21" s="3">
        <f>COUNTIF('Test Inventory'!I:I,"Passed")</f>
        <v/>
      </c>
    </row>
    <row r="22">
      <c r="A22" s="3" t="inlineStr">
        <is>
          <t>Pass rate</t>
        </is>
      </c>
      <c r="B22" s="5">
        <f>IFERROR(B21/B16,0)</f>
        <v/>
      </c>
    </row>
    <row r="24">
      <c r="A24" s="6" t="inlineStr">
        <is>
          <t>All counts are formulas over the other sheets: edit Status / Last result there and the summary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55" customWidth="1" min="3" max="3"/>
    <col width="60" customWidth="1" min="4" max="4"/>
    <col width="75" customWidth="1" min="5" max="5"/>
    <col width="17" customWidth="1" min="6" max="6"/>
    <col width="8" customWidth="1" min="7" max="7"/>
  </cols>
  <sheetData>
    <row r="1">
      <c r="A1" s="7" t="inlineStr">
        <is>
          <t>ID</t>
        </is>
      </c>
      <c r="B1" s="7" t="inlineStr">
        <is>
          <t>Area</t>
        </is>
      </c>
      <c r="C1" s="7" t="inlineStr">
        <is>
          <t>Requirement (from the brief)</t>
        </is>
      </c>
      <c r="D1" s="7" t="inlineStr">
        <is>
          <t>How it is verified</t>
        </is>
      </c>
      <c r="E1" s="7" t="inlineStr">
        <is>
          <t>Covered by (file:line  test)</t>
        </is>
      </c>
      <c r="F1" s="7" t="inlineStr">
        <is>
          <t>Status</t>
        </is>
      </c>
      <c r="G1" s="7" t="inlineStr">
        <is>
          <t># tests</t>
        </is>
      </c>
    </row>
    <row r="2">
      <c r="A2" s="8" t="inlineStr">
        <is>
          <t>G-01</t>
        </is>
      </c>
      <c r="B2" s="8" t="inlineStr">
        <is>
          <t>General</t>
        </is>
      </c>
      <c r="C2" s="8" t="inlineStr">
        <is>
          <t>Both test cases are run for addresses 96Y3j66AX16noUAAVriW8bmwTGzV1PVqBKCEArPd5fuU and 7eXxD3vQww9cgBgD3gb7iqTriAzAmCBXFBMpdDi71P3i</t>
        </is>
      </c>
      <c r="D2" s="8" t="inlineStr">
        <is>
          <t>Addresses defined once in src/config/env.ts; Scenario 1 iterates both, Scenario 2 sends both in one request</t>
        </is>
      </c>
      <c r="E2" s="8" t="inlineStr">
        <is>
          <t>tests/balances.spec.ts:16  Scenario 2a: net worth equals the sum of the total portfolio values from Scenario 1 @scenario2
tests/balances.spec.ts:42  Scenario 2b: net worth equals the sum of the wallet values @scenario2
tests/tokens.spec.ts:12  Scenario 1: total portfolio value is correct for both addresses @scenario1</t>
        </is>
      </c>
      <c r="F2" s="8" t="inlineStr">
        <is>
          <t>Covered</t>
        </is>
      </c>
      <c r="G2" s="8" t="n">
        <v>3</v>
      </c>
    </row>
    <row r="3">
      <c r="A3" s="8" t="inlineStr">
        <is>
          <t>G-02</t>
        </is>
      </c>
      <c r="B3" s="8" t="inlineStr">
        <is>
          <t>General</t>
        </is>
      </c>
      <c r="C3" s="8" t="inlineStr">
        <is>
          <t>Every request sends Authorization: Bearer {uuid4}, a uuid4 generated per app install</t>
        </is>
      </c>
      <c r="D3" s="8" t="inlineStr">
        <is>
          <t>WalletApiClient generates crypto.randomUUID() (v4) per instance; the fixture creates one client (= one install) per test</t>
        </is>
      </c>
      <c r="E3" s="8" t="inlineStr">
        <is>
          <t>All 32 tests (see Test Inventory)
Specifically:
tests/balances.spec.ts:150  rejects a request without Authorization header with 403
tests/tokens.spec.ts:111  rejects a request without Authorization header with 403
tests/tokens.spec.ts:117  rejects a Bearer token that is not a uuid with 403</t>
        </is>
      </c>
      <c r="F3" s="8" t="inlineStr">
        <is>
          <t>Covered</t>
        </is>
      </c>
      <c r="G3" s="8" t="n">
        <v>32</v>
      </c>
    </row>
    <row r="4">
      <c r="A4" s="8" t="inlineStr">
        <is>
          <t>G-03</t>
        </is>
      </c>
      <c r="B4" s="8" t="inlineStr">
        <is>
          <t>General</t>
        </is>
      </c>
      <c r="C4" s="8" t="inlineStr">
        <is>
          <t>Base URL https://wallet-api.solflare.com</t>
        </is>
      </c>
      <c r="D4" s="8" t="inlineStr">
        <is>
          <t>Default baseURL in playwright.config.ts via env.baseUrl (overridable with BASE_URL)</t>
        </is>
      </c>
      <c r="E4" s="8" t="inlineStr">
        <is>
          <t>All 32 tests (see Test Inventory)</t>
        </is>
      </c>
      <c r="F4" s="8" t="inlineStr">
        <is>
          <t>Covered</t>
        </is>
      </c>
      <c r="G4" s="8" t="n">
        <v>32</v>
      </c>
    </row>
    <row r="5">
      <c r="A5" s="8" t="inlineStr">
        <is>
          <t>G-04</t>
        </is>
      </c>
      <c r="B5" s="8" t="inlineStr">
        <is>
          <t>Tokens API</t>
        </is>
      </c>
      <c r="C5" s="8" t="inlineStr">
        <is>
          <t>GET /v3/portfolio/tokens/{address} with query parameter network = mainnet / devnet / testnet</t>
        </is>
      </c>
      <c r="D5" s="8" t="inlineStr">
        <is>
          <t>WalletApiClient.getTokens(address, network); all three networks exercised</t>
        </is>
      </c>
      <c r="E5" s="8" t="inlineStr">
        <is>
          <t>tests/tokens.spec.ts:12  Scenario 1: total portfolio value is correct for both addresses @scenario1
tests/tokens.spec.ts:70  returns a valid, self-consistent response on devnet
tests/tokens.spec.ts:70  returns a valid, self-consistent response on testnet
tests/tokens.spec.ts:79  defaults to mainnet when the network parameter is omitted
tests/tokens.spec.ts:94  rejects an unsupported network with 400
tests/tokens.spec.ts:104  rejects an invalid public key with 400</t>
        </is>
      </c>
      <c r="F5" s="8" t="inlineStr">
        <is>
          <t>Covered</t>
        </is>
      </c>
      <c r="G5" s="8" t="n">
        <v>6</v>
      </c>
    </row>
    <row r="6">
      <c r="A6" s="8" t="inlineStr">
        <is>
          <t>G-05</t>
        </is>
      </c>
      <c r="B6" s="8" t="inlineStr">
        <is>
          <t>Balances API</t>
        </is>
      </c>
      <c r="C6" s="8" t="inlineStr">
        <is>
          <t>POST /v2/portfolio/balances with body {pubkeys: ['1{address}'], currency: 'usd', general: true, network}</t>
        </is>
      </c>
      <c r="D6" s="8" t="inlineStr">
        <is>
          <t>WalletApiClient.getBalances adds the '1' prefix and builds the body</t>
        </is>
      </c>
      <c r="E6" s="8" t="inlineStr">
        <is>
          <t>tests/balances.spec.ts:16  Scenario 2a: net worth equals the sum of the total portfolio values from Scenario 1 @scenario2
tests/balances.spec.ts:42  Scenario 2b: net worth equals the sum of the wallet values @scenario2
tests/balances.spec.ts:110  returns every wallet and a consistent net worth on devnet
tests/balances.spec.ts:110  returns every wallet and a consistent net worth on testnet
tests/balances.spec.ts:121  rejects addresses without the `1` prefix with 400
tests/balances.spec.ts:135  rejects an unsupported network with 400
tests/balances.spec.ts:142  rejects a body without pubkeys with 400
tests/balances.spec.ts:156  rejects a public key with non-base58 characters with 400
tests/balances.spec.ts:163  silently ignores a base58 string that is not a valid public key</t>
        </is>
      </c>
      <c r="F6" s="8" t="inlineStr">
        <is>
          <t>Covered</t>
        </is>
      </c>
      <c r="G6" s="8" t="n">
        <v>9</v>
      </c>
    </row>
    <row r="7">
      <c r="A7" s="8" t="inlineStr">
        <is>
          <t>G-06</t>
        </is>
      </c>
      <c r="B7" s="8" t="inlineStr">
        <is>
          <t>Balances API</t>
        </is>
      </c>
      <c r="C7" s="8" t="inlineStr">
        <is>
          <t>currency supports all supported currencies</t>
        </is>
      </c>
      <c r="D7" s="8" t="inlineStr">
        <is>
          <t>Parameterised test over eur, gbp, jpy, chf, aud, cad, inr (usd used by the scenarios); unsupported currency → 422</t>
        </is>
      </c>
      <c r="E7" s="8" t="inlineStr">
        <is>
          <t>tests/balances.spec.ts:99  supports currency eur with a consistent net worth
tests/balances.spec.ts:99  supports currency gbp with a consistent net worth
tests/balances.spec.ts:99  supports currency jpy with a consistent net worth
tests/balances.spec.ts:99  supports currency chf with a consistent net worth
tests/balances.spec.ts:99  supports currency aud with a consistent net worth
tests/balances.spec.ts:99  supports currency cad with a consistent net worth
tests/balances.spec.ts:99  supports currency inr with a consistent net worth
tests/balances.spec.ts:128  rejects an unsupported currency with 422</t>
        </is>
      </c>
      <c r="F7" s="8" t="inlineStr">
        <is>
          <t>Covered</t>
        </is>
      </c>
      <c r="G7" s="8" t="n">
        <v>8</v>
      </c>
    </row>
    <row r="8">
      <c r="A8" s="8" t="inlineStr">
        <is>
          <t>S1-01</t>
        </is>
      </c>
      <c r="B8" s="8" t="inlineStr">
        <is>
          <t>Scenario 1</t>
        </is>
      </c>
      <c r="C8" s="8" t="inlineStr">
        <is>
          <t>Total portfolio value verified for both addresses with a SINGLE test</t>
        </is>
      </c>
      <c r="D8" s="8" t="inlineStr">
        <is>
          <t>One test, one test.step per address, soft assertions so both addresses are always reported</t>
        </is>
      </c>
      <c r="E8" s="8" t="inlineStr">
        <is>
          <t>tests/tokens.spec.ts:12  Scenario 1: total portfolio value is correct for both addresses @scenario1</t>
        </is>
      </c>
      <c r="F8" s="8" t="inlineStr">
        <is>
          <t>Covered</t>
        </is>
      </c>
      <c r="G8" s="8" t="n">
        <v>1</v>
      </c>
    </row>
    <row r="9">
      <c r="A9" s="8" t="inlineStr">
        <is>
          <t>S1-02</t>
        </is>
      </c>
      <c r="B9" s="8" t="inlineStr">
        <is>
          <t>Scenario 1</t>
        </is>
      </c>
      <c r="C9" s="8" t="inlineStr">
        <is>
          <t>Network set to mainnet</t>
        </is>
      </c>
      <c r="D9" s="8" t="inlineStr">
        <is>
          <t>getTokens(address, 'mainnet')</t>
        </is>
      </c>
      <c r="E9" s="8" t="inlineStr">
        <is>
          <t>tests/tokens.spec.ts:12  Scenario 1: total portfolio value is correct for both addresses @scenario1</t>
        </is>
      </c>
      <c r="F9" s="8" t="inlineStr">
        <is>
          <t>Covered</t>
        </is>
      </c>
      <c r="G9" s="8" t="n">
        <v>1</v>
      </c>
    </row>
    <row r="10">
      <c r="A10" s="8" t="inlineStr">
        <is>
          <t>S1-03</t>
        </is>
      </c>
      <c r="B10" s="8" t="inlineStr">
        <is>
          <t>Scenario 1</t>
        </is>
      </c>
      <c r="C10" s="8" t="inlineStr">
        <is>
          <t>Send the GET request for the given address</t>
        </is>
      </c>
      <c r="D10" s="8" t="inlineStr">
        <is>
          <t>One GET per address inside the test</t>
        </is>
      </c>
      <c r="E10" s="8" t="inlineStr">
        <is>
          <t>tests/tokens.spec.ts:12  Scenario 1: total portfolio value is correct for both addresses @scenario1</t>
        </is>
      </c>
      <c r="F10" s="8" t="inlineStr">
        <is>
          <t>Covered</t>
        </is>
      </c>
      <c r="G10" s="8" t="n">
        <v>1</v>
      </c>
    </row>
    <row r="11">
      <c r="A11" s="8" t="inlineStr">
        <is>
          <t>S1-04</t>
        </is>
      </c>
      <c r="B11" s="8" t="inlineStr">
        <is>
          <t>Scenario 1</t>
        </is>
      </c>
      <c r="C11" s="8" t="inlineStr">
        <is>
          <t>Total value in the response matches the calculated total for tokens (price × amount for each token)</t>
        </is>
      </c>
      <c r="D11" s="8" t="inlineStr">
        <is>
          <t>value.total ≈ Σ price.price × totalUiAmount (9 decimals); unpriced tokens count as 0; guard against a vacuous 0 == 0 pass</t>
        </is>
      </c>
      <c r="E11" s="8" t="inlineStr">
        <is>
          <t>tests/tokens.spec.ts:12  Scenario 1: total portfolio value is correct for both addresses @scenario1
tests/tokens.spec.ts:51  every token has a non-negative amount and a positive price when priced</t>
        </is>
      </c>
      <c r="F11" s="8" t="inlineStr">
        <is>
          <t>Covered</t>
        </is>
      </c>
      <c r="G11" s="8" t="n">
        <v>2</v>
      </c>
    </row>
    <row r="12">
      <c r="A12" s="8" t="inlineStr">
        <is>
          <t>S1-05</t>
        </is>
      </c>
      <c r="B12" s="8" t="inlineStr">
        <is>
          <t>Scenario 1</t>
        </is>
      </c>
      <c r="C12" s="8" t="inlineStr">
        <is>
          <t>Total value equals the sum of the stocks and tokens values</t>
        </is>
      </c>
      <c r="D12" s="8" t="inlineStr">
        <is>
          <t>value.total ≈ tokensValue.total + stocksValue.total (9 decimals)</t>
        </is>
      </c>
      <c r="E12" s="8" t="inlineStr">
        <is>
          <t>tests/tokens.spec.ts:12  Scenario 1: total portfolio value is correct for both addresses @scenario1
tests/tokens.spec.ts:37  tokens and stocks subtotals match their own tokens</t>
        </is>
      </c>
      <c r="F12" s="8" t="inlineStr">
        <is>
          <t>Covered</t>
        </is>
      </c>
      <c r="G12" s="8" t="n">
        <v>2</v>
      </c>
    </row>
    <row r="13">
      <c r="A13" s="8" t="inlineStr">
        <is>
          <t>S2-01</t>
        </is>
      </c>
      <c r="B13" s="8" t="inlineStr">
        <is>
          <t>Scenario 2</t>
        </is>
      </c>
      <c r="C13" s="8" t="inlineStr">
        <is>
          <t>Network set to mainnet</t>
        </is>
      </c>
      <c r="D13" s="8" t="inlineStr">
        <is>
          <t>getBalances(addresses, { network: 'mainnet' })</t>
        </is>
      </c>
      <c r="E13" s="8" t="inlineStr">
        <is>
          <t>tests/balances.spec.ts:16  Scenario 2a: net worth equals the sum of the total portfolio values from Scenario 1 @scenario2
tests/balances.spec.ts:42  Scenario 2b: net worth equals the sum of the wallet values @scenario2</t>
        </is>
      </c>
      <c r="F13" s="8" t="inlineStr">
        <is>
          <t>Covered</t>
        </is>
      </c>
      <c r="G13" s="8" t="n">
        <v>2</v>
      </c>
    </row>
    <row r="14">
      <c r="A14" s="8" t="inlineStr">
        <is>
          <t>S2-02</t>
        </is>
      </c>
      <c r="B14" s="8" t="inlineStr">
        <is>
          <t>Scenario 2</t>
        </is>
      </c>
      <c r="C14" s="8" t="inlineStr">
        <is>
          <t>Send the POST request for the given two addresses</t>
        </is>
      </c>
      <c r="D14" s="8" t="inlineStr">
        <is>
          <t>Both addresses in one request, '1'-prefixed</t>
        </is>
      </c>
      <c r="E14" s="8" t="inlineStr">
        <is>
          <t>tests/balances.spec.ts:16  Scenario 2a: net worth equals the sum of the total portfolio values from Scenario 1 @scenario2
tests/balances.spec.ts:42  Scenario 2b: net worth equals the sum of the wallet values @scenario2</t>
        </is>
      </c>
      <c r="F14" s="8" t="inlineStr">
        <is>
          <t>Covered</t>
        </is>
      </c>
      <c r="G14" s="8" t="n">
        <v>2</v>
      </c>
    </row>
    <row r="15">
      <c r="A15" s="8" t="inlineStr">
        <is>
          <t>S2-03</t>
        </is>
      </c>
      <c r="B15" s="8" t="inlineStr">
        <is>
          <t>Scenario 2</t>
        </is>
      </c>
      <c r="C15" s="8" t="inlineStr">
        <is>
          <t>Net worth equals the sum of the total portfolio values returned in Scenario 1</t>
        </is>
      </c>
      <c r="D15" s="8" t="inlineStr">
        <is>
          <t>Tokens totals fetched in the same test (independence), requests fired in parallel, USD tolerance 0.01, expect.toPass re-check for live price drift</t>
        </is>
      </c>
      <c r="E15" s="8" t="inlineStr">
        <is>
          <t>tests/balances.spec.ts:16  Scenario 2a: net worth equals the sum of the total portfolio values from Scenario 1 @scenario2
tests/balances.spec.ts:54  each wallet value matches the total of its tokens portfolio</t>
        </is>
      </c>
      <c r="F15" s="8" t="inlineStr">
        <is>
          <t>Covered</t>
        </is>
      </c>
      <c r="G15" s="8" t="n">
        <v>2</v>
      </c>
    </row>
    <row r="16">
      <c r="A16" s="8" t="inlineStr">
        <is>
          <t>S2-04</t>
        </is>
      </c>
      <c r="B16" s="8" t="inlineStr">
        <is>
          <t>Scenario 2</t>
        </is>
      </c>
      <c r="C16" s="8" t="inlineStr">
        <is>
          <t>Total net worth equals the sum of the wallet values (balances endpoint only)</t>
        </is>
      </c>
      <c r="D16" s="8" t="inlineStr">
        <is>
          <t>netWorth ≈ Σ data[].value from a single balances response; each requested address present exactly once</t>
        </is>
      </c>
      <c r="E16" s="8" t="inlineStr">
        <is>
          <t>tests/balances.spec.ts:42  Scenario 2b: net worth equals the sum of the wallet values @scenario2
tests/balances.spec.ts:74  a single address returns a net worth equal to its own value
tests/balances.spec.ts:81  duplicate addresses are counted only once
tests/balances.spec.ts:90  an empty pubkeys list returns zero net worth</t>
        </is>
      </c>
      <c r="F16" s="8" t="inlineStr">
        <is>
          <t>Covered</t>
        </is>
      </c>
      <c r="G16" s="8" t="n">
        <v>4</v>
      </c>
    </row>
    <row r="17">
      <c r="A17" s="8" t="inlineStr">
        <is>
          <t>Q-01</t>
        </is>
      </c>
      <c r="B17" s="8" t="inlineStr">
        <is>
          <t>Quality</t>
        </is>
      </c>
      <c r="C17" s="8" t="inlineStr">
        <is>
          <t>Clear and comprehensive test cases covering both scenarios</t>
        </is>
      </c>
      <c r="D17" s="8" t="inlineStr">
        <is>
          <t>Scenario tests plus positive, contract, network, currency and negative cases (see Test Inventory)</t>
        </is>
      </c>
      <c r="E17" s="8" t="inlineStr">
        <is>
          <t>All 32 tests (see Test Inventory)</t>
        </is>
      </c>
      <c r="F17" s="8" t="inlineStr">
        <is>
          <t>Covered</t>
        </is>
      </c>
      <c r="G17" s="8" t="n">
        <v>32</v>
      </c>
    </row>
    <row r="18">
      <c r="A18" s="8" t="inlineStr">
        <is>
          <t>Q-02</t>
        </is>
      </c>
      <c r="B18" s="8" t="inlineStr">
        <is>
          <t>Quality</t>
        </is>
      </c>
      <c r="C18" s="8" t="inlineStr">
        <is>
          <t>Tests are reliable</t>
        </is>
      </c>
      <c r="D18" s="8" t="inlineStr">
        <is>
          <t>Live-price tolerance + toPass; HTTP 429 retry honouring Retry-After; 2 workers; 1 retry on CI; repeated back-to-back runs green</t>
        </is>
      </c>
      <c r="E18" s="8" t="inlineStr">
        <is>
          <t>tests/balances.spec.ts:16  Scenario 2a: net worth equals the sum of the total portfolio values from Scenario 1 @scenario2
tests/balances.spec.ts:54  each wallet value matches the total of its tokens portfolio</t>
        </is>
      </c>
      <c r="F18" s="8" t="inlineStr">
        <is>
          <t>Covered</t>
        </is>
      </c>
      <c r="G18" s="8" t="n">
        <v>2</v>
      </c>
    </row>
    <row r="19">
      <c r="A19" s="8" t="inlineStr">
        <is>
          <t>Q-03</t>
        </is>
      </c>
      <c r="B19" s="8" t="inlineStr">
        <is>
          <t>Quality</t>
        </is>
      </c>
      <c r="C19" s="8" t="inlineStr">
        <is>
          <t>Tests are independent</t>
        </is>
      </c>
      <c r="D19" s="8" t="inlineStr">
        <is>
          <t>No shared state; fresh client/uuid per test; Scenario 2 fetches its own Scenario 1 data; fullyParallel</t>
        </is>
      </c>
      <c r="E19" s="8" t="inlineStr">
        <is>
          <t>src/fixtures.ts, playwright.config.ts (fullyParallel)</t>
        </is>
      </c>
      <c r="F19" s="8" t="inlineStr">
        <is>
          <t>Covered</t>
        </is>
      </c>
      <c r="G19" s="8" t="n">
        <v>0</v>
      </c>
    </row>
    <row r="20">
      <c r="A20" s="8" t="inlineStr">
        <is>
          <t>Q-04</t>
        </is>
      </c>
      <c r="B20" s="8" t="inlineStr">
        <is>
          <t>Quality</t>
        </is>
      </c>
      <c r="C20" s="8" t="inlineStr">
        <is>
          <t>Tests are easy to execute</t>
        </is>
      </c>
      <c r="D20" s="8" t="inlineStr">
        <is>
          <t>npm ci &amp;&amp; npm test; npm run test:scenario1 / test:scenario2; no browsers needed</t>
        </is>
      </c>
      <c r="E20" s="8" t="inlineStr">
        <is>
          <t>package.json scripts, README › Quick start</t>
        </is>
      </c>
      <c r="F20" s="8" t="inlineStr">
        <is>
          <t>Covered</t>
        </is>
      </c>
      <c r="G20" s="8" t="n">
        <v>0</v>
      </c>
    </row>
    <row r="21">
      <c r="A21" s="8" t="inlineStr">
        <is>
          <t>Q-05</t>
        </is>
      </c>
      <c r="B21" s="8" t="inlineStr">
        <is>
          <t>Quality</t>
        </is>
      </c>
      <c r="C21" s="8" t="inlineStr">
        <is>
          <t>Clear documentation</t>
        </is>
      </c>
      <c r="D21" s="8" t="inlineStr">
        <is>
          <t>README: quick start, configuration, test case descriptions, design decisions, structure, API observations</t>
        </is>
      </c>
      <c r="E21" s="8" t="inlineStr">
        <is>
          <t>README.md</t>
        </is>
      </c>
      <c r="F21" s="8" t="inlineStr">
        <is>
          <t>Covered</t>
        </is>
      </c>
      <c r="G21" s="8" t="n">
        <v>0</v>
      </c>
    </row>
    <row r="22">
      <c r="A22" s="8" t="inlineStr">
        <is>
          <t>Q-06</t>
        </is>
      </c>
      <c r="B22" s="8" t="inlineStr">
        <is>
          <t>Quality</t>
        </is>
      </c>
      <c r="C22" s="8" t="inlineStr">
        <is>
          <t>Reporting so results can be understood and evaluated</t>
        </is>
      </c>
      <c r="D22" s="8" t="inlineStr">
        <is>
          <t>list (console), HTML (reports/html) and JUnit (reports/junit.xml); CI uploads the HTML report and publishes a JUnit check</t>
        </is>
      </c>
      <c r="E22" s="8" t="inlineStr">
        <is>
          <t>playwright.config.ts reporters, .github/workflows/api-tests.yml</t>
        </is>
      </c>
      <c r="F22" s="8" t="inlineStr">
        <is>
          <t>Covered</t>
        </is>
      </c>
      <c r="G22" s="8" t="n">
        <v>0</v>
      </c>
    </row>
    <row r="23">
      <c r="A23" s="8" t="inlineStr">
        <is>
          <t>B-01</t>
        </is>
      </c>
      <c r="B23" s="8" t="inlineStr">
        <is>
          <t>Bonus</t>
        </is>
      </c>
      <c r="C23" s="8" t="inlineStr">
        <is>
          <t>CI pipeline (GitHub Actions) as an optional showcase</t>
        </is>
      </c>
      <c r="D23" s="8" t="inlineStr">
        <is>
          <t>.github/workflows/api-tests.yml: push, PR, manual and daily schedule; typecheck + tests</t>
        </is>
      </c>
      <c r="E23" s="8" t="inlineStr">
        <is>
          <t>.github/workflows/api-tests.yml</t>
        </is>
      </c>
      <c r="F23" s="8" t="inlineStr">
        <is>
          <t>Covered</t>
        </is>
      </c>
      <c r="G23" s="8" t="n">
        <v>0</v>
      </c>
    </row>
    <row r="24">
      <c r="A24" s="8" t="inlineStr">
        <is>
          <t>B-02</t>
        </is>
      </c>
      <c r="B24" s="8" t="inlineStr">
        <is>
          <t>Bonus</t>
        </is>
      </c>
      <c r="C24" s="8" t="inlineStr">
        <is>
          <t>Keep it simple, no large framework</t>
        </is>
      </c>
      <c r="D24" s="8" t="inlineStr">
        <is>
          <t>One thin client, two zod schemas, one util, one fixture, two spec files</t>
        </is>
      </c>
      <c r="E24" s="8" t="inlineStr">
        <is>
          <t>src/, tests/ (project structure)</t>
        </is>
      </c>
      <c r="F24" s="8" t="inlineStr">
        <is>
          <t>Covered</t>
        </is>
      </c>
      <c r="G24" s="8" t="n">
        <v>0</v>
      </c>
    </row>
  </sheetData>
  <autoFilter ref="A1:G24"/>
  <conditionalFormatting sqref="F2:F24">
    <cfRule type="cellIs" priority="1" operator="equal" dxfId="0">
      <formula>"Covered"</formula>
    </cfRule>
    <cfRule type="cellIs" priority="2" operator="equal" dxfId="0">
      <formula>"Passed"</formula>
    </cfRule>
    <cfRule type="cellIs" priority="3" operator="equal" dxfId="1">
      <formula>"Partially covered"</formula>
    </cfRule>
    <cfRule type="cellIs" priority="4" operator="equal" dxfId="2">
      <formula>"Not covered"</formula>
    </cfRule>
    <cfRule type="cellIs" priority="5" operator="equal" dxfId="2">
      <formula>"Failed"</formula>
    </cfRule>
  </conditionalFormatting>
  <dataValidations count="1">
    <dataValidation sqref="F2:F24" showDropDown="0" showInputMessage="0" showErrorMessage="0" allowBlank="0" type="list">
      <formula1>"Covered,Partially covered,Not covered"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6" customWidth="1" min="4" max="4"/>
    <col width="32" customWidth="1" min="5" max="5"/>
    <col width="70" customWidth="1" min="6" max="6"/>
    <col width="26" customWidth="1" min="7" max="7"/>
    <col width="40" customWidth="1" min="8" max="8"/>
    <col width="12" customWidth="1" min="9" max="9"/>
  </cols>
  <sheetData>
    <row r="1">
      <c r="A1" s="7" t="inlineStr">
        <is>
          <t>#</t>
        </is>
      </c>
      <c r="B1" s="7" t="inlineStr">
        <is>
          <t>Spec file</t>
        </is>
      </c>
      <c r="C1" s="7" t="inlineStr">
        <is>
          <t>Line</t>
        </is>
      </c>
      <c r="D1" s="7" t="inlineStr">
        <is>
          <t>Type</t>
        </is>
      </c>
      <c r="E1" s="7" t="inlineStr">
        <is>
          <t>Endpoint</t>
        </is>
      </c>
      <c r="F1" s="7" t="inlineStr">
        <is>
          <t>Test</t>
        </is>
      </c>
      <c r="G1" s="7" t="inlineStr">
        <is>
          <t>Requirement IDs</t>
        </is>
      </c>
      <c r="H1" s="7" t="inlineStr">
        <is>
          <t>Suite</t>
        </is>
      </c>
      <c r="I1" s="7" t="inlineStr">
        <is>
          <t>Last result</t>
        </is>
      </c>
    </row>
    <row r="2">
      <c r="A2" s="8" t="n">
        <v>1</v>
      </c>
      <c r="B2" s="8" t="inlineStr">
        <is>
          <t>tests/balances.spec.ts</t>
        </is>
      </c>
      <c r="C2" s="8" t="n">
        <v>16</v>
      </c>
      <c r="D2" s="8" t="inlineStr">
        <is>
          <t>Scenario 2</t>
        </is>
      </c>
      <c r="E2" s="8" t="inlineStr">
        <is>
          <t>POST /v2/portfolio/balances</t>
        </is>
      </c>
      <c r="F2" s="8" t="inlineStr">
        <is>
          <t>Scenario 2a: net worth equals the sum of the total portfolio values from Scenario 1 @scenario2</t>
        </is>
      </c>
      <c r="G2" s="8" t="inlineStr">
        <is>
          <t>G-01, G-05, S2-01, S2-02, S2-03, Q-02</t>
        </is>
      </c>
      <c r="H2" s="8" t="inlineStr">
        <is>
          <t>POST /v2/portfolio/balances</t>
        </is>
      </c>
      <c r="I2" s="8" t="inlineStr">
        <is>
          <t>Passed</t>
        </is>
      </c>
    </row>
    <row r="3">
      <c r="A3" s="8" t="n">
        <v>2</v>
      </c>
      <c r="B3" s="8" t="inlineStr">
        <is>
          <t>tests/balances.spec.ts</t>
        </is>
      </c>
      <c r="C3" s="8" t="n">
        <v>42</v>
      </c>
      <c r="D3" s="8" t="inlineStr">
        <is>
          <t>Scenario 2</t>
        </is>
      </c>
      <c r="E3" s="8" t="inlineStr">
        <is>
          <t>POST /v2/portfolio/balances</t>
        </is>
      </c>
      <c r="F3" s="8" t="inlineStr">
        <is>
          <t>Scenario 2b: net worth equals the sum of the wallet values @scenario2</t>
        </is>
      </c>
      <c r="G3" s="8" t="inlineStr">
        <is>
          <t>G-01, G-05, S2-01, S2-02, S2-04</t>
        </is>
      </c>
      <c r="H3" s="8" t="inlineStr">
        <is>
          <t>POST /v2/portfolio/balances</t>
        </is>
      </c>
      <c r="I3" s="8" t="inlineStr">
        <is>
          <t>Passed</t>
        </is>
      </c>
    </row>
    <row r="4">
      <c r="A4" s="8" t="n">
        <v>3</v>
      </c>
      <c r="B4" s="8" t="inlineStr">
        <is>
          <t>tests/balances.spec.ts</t>
        </is>
      </c>
      <c r="C4" s="8" t="n">
        <v>54</v>
      </c>
      <c r="D4" s="8" t="inlineStr">
        <is>
          <t>Positive / extra</t>
        </is>
      </c>
      <c r="E4" s="8" t="inlineStr">
        <is>
          <t>POST /v2/portfolio/balances</t>
        </is>
      </c>
      <c r="F4" s="8" t="inlineStr">
        <is>
          <t>each wallet value matches the total of its tokens portfolio</t>
        </is>
      </c>
      <c r="G4" s="8" t="inlineStr">
        <is>
          <t>S2-03, Q-02</t>
        </is>
      </c>
      <c r="H4" s="8" t="inlineStr">
        <is>
          <t>POST /v2/portfolio/balances</t>
        </is>
      </c>
      <c r="I4" s="8" t="inlineStr">
        <is>
          <t>Passed</t>
        </is>
      </c>
    </row>
    <row r="5">
      <c r="A5" s="8" t="n">
        <v>4</v>
      </c>
      <c r="B5" s="8" t="inlineStr">
        <is>
          <t>tests/balances.spec.ts</t>
        </is>
      </c>
      <c r="C5" s="8" t="n">
        <v>74</v>
      </c>
      <c r="D5" s="8" t="inlineStr">
        <is>
          <t>Positive / extra</t>
        </is>
      </c>
      <c r="E5" s="8" t="inlineStr">
        <is>
          <t>POST /v2/portfolio/balances</t>
        </is>
      </c>
      <c r="F5" s="8" t="inlineStr">
        <is>
          <t>a single address returns a net worth equal to its own value</t>
        </is>
      </c>
      <c r="G5" s="8" t="inlineStr">
        <is>
          <t>S2-04</t>
        </is>
      </c>
      <c r="H5" s="8" t="inlineStr">
        <is>
          <t>POST /v2/portfolio/balances</t>
        </is>
      </c>
      <c r="I5" s="8" t="inlineStr">
        <is>
          <t>Passed</t>
        </is>
      </c>
    </row>
    <row r="6">
      <c r="A6" s="8" t="n">
        <v>5</v>
      </c>
      <c r="B6" s="8" t="inlineStr">
        <is>
          <t>tests/balances.spec.ts</t>
        </is>
      </c>
      <c r="C6" s="8" t="n">
        <v>81</v>
      </c>
      <c r="D6" s="8" t="inlineStr">
        <is>
          <t>Positive / extra</t>
        </is>
      </c>
      <c r="E6" s="8" t="inlineStr">
        <is>
          <t>POST /v2/portfolio/balances</t>
        </is>
      </c>
      <c r="F6" s="8" t="inlineStr">
        <is>
          <t>duplicate addresses are counted only once</t>
        </is>
      </c>
      <c r="G6" s="8" t="inlineStr">
        <is>
          <t>S2-04</t>
        </is>
      </c>
      <c r="H6" s="8" t="inlineStr">
        <is>
          <t>POST /v2/portfolio/balances</t>
        </is>
      </c>
      <c r="I6" s="8" t="inlineStr">
        <is>
          <t>Passed</t>
        </is>
      </c>
    </row>
    <row r="7">
      <c r="A7" s="8" t="n">
        <v>6</v>
      </c>
      <c r="B7" s="8" t="inlineStr">
        <is>
          <t>tests/balances.spec.ts</t>
        </is>
      </c>
      <c r="C7" s="8" t="n">
        <v>90</v>
      </c>
      <c r="D7" s="8" t="inlineStr">
        <is>
          <t>Positive / extra</t>
        </is>
      </c>
      <c r="E7" s="8" t="inlineStr">
        <is>
          <t>POST /v2/portfolio/balances</t>
        </is>
      </c>
      <c r="F7" s="8" t="inlineStr">
        <is>
          <t>an empty pubkeys list returns zero net worth</t>
        </is>
      </c>
      <c r="G7" s="8" t="inlineStr">
        <is>
          <t>S2-04</t>
        </is>
      </c>
      <c r="H7" s="8" t="inlineStr">
        <is>
          <t>POST /v2/portfolio/balances</t>
        </is>
      </c>
      <c r="I7" s="8" t="inlineStr">
        <is>
          <t>Passed</t>
        </is>
      </c>
    </row>
    <row r="8">
      <c r="A8" s="8" t="n">
        <v>7</v>
      </c>
      <c r="B8" s="8" t="inlineStr">
        <is>
          <t>tests/balances.spec.ts</t>
        </is>
      </c>
      <c r="C8" s="8" t="n">
        <v>99</v>
      </c>
      <c r="D8" s="8" t="inlineStr">
        <is>
          <t>Positive / extra</t>
        </is>
      </c>
      <c r="E8" s="8" t="inlineStr">
        <is>
          <t>POST /v2/portfolio/balances</t>
        </is>
      </c>
      <c r="F8" s="8" t="inlineStr">
        <is>
          <t>supports currency eur with a consistent net worth</t>
        </is>
      </c>
      <c r="G8" s="8" t="inlineStr">
        <is>
          <t>G-06</t>
        </is>
      </c>
      <c r="H8" s="8" t="inlineStr">
        <is>
          <t>POST /v2/portfolio/balances</t>
        </is>
      </c>
      <c r="I8" s="8" t="inlineStr">
        <is>
          <t>Passed</t>
        </is>
      </c>
    </row>
    <row r="9">
      <c r="A9" s="8" t="n">
        <v>8</v>
      </c>
      <c r="B9" s="8" t="inlineStr">
        <is>
          <t>tests/balances.spec.ts</t>
        </is>
      </c>
      <c r="C9" s="8" t="n">
        <v>99</v>
      </c>
      <c r="D9" s="8" t="inlineStr">
        <is>
          <t>Positive / extra</t>
        </is>
      </c>
      <c r="E9" s="8" t="inlineStr">
        <is>
          <t>POST /v2/portfolio/balances</t>
        </is>
      </c>
      <c r="F9" s="8" t="inlineStr">
        <is>
          <t>supports currency gbp with a consistent net worth</t>
        </is>
      </c>
      <c r="G9" s="8" t="inlineStr">
        <is>
          <t>G-06</t>
        </is>
      </c>
      <c r="H9" s="8" t="inlineStr">
        <is>
          <t>POST /v2/portfolio/balances</t>
        </is>
      </c>
      <c r="I9" s="8" t="inlineStr">
        <is>
          <t>Passed</t>
        </is>
      </c>
    </row>
    <row r="10">
      <c r="A10" s="8" t="n">
        <v>9</v>
      </c>
      <c r="B10" s="8" t="inlineStr">
        <is>
          <t>tests/balances.spec.ts</t>
        </is>
      </c>
      <c r="C10" s="8" t="n">
        <v>99</v>
      </c>
      <c r="D10" s="8" t="inlineStr">
        <is>
          <t>Positive / extra</t>
        </is>
      </c>
      <c r="E10" s="8" t="inlineStr">
        <is>
          <t>POST /v2/portfolio/balances</t>
        </is>
      </c>
      <c r="F10" s="8" t="inlineStr">
        <is>
          <t>supports currency jpy with a consistent net worth</t>
        </is>
      </c>
      <c r="G10" s="8" t="inlineStr">
        <is>
          <t>G-06</t>
        </is>
      </c>
      <c r="H10" s="8" t="inlineStr">
        <is>
          <t>POST /v2/portfolio/balances</t>
        </is>
      </c>
      <c r="I10" s="8" t="inlineStr">
        <is>
          <t>Passed</t>
        </is>
      </c>
    </row>
    <row r="11">
      <c r="A11" s="8" t="n">
        <v>10</v>
      </c>
      <c r="B11" s="8" t="inlineStr">
        <is>
          <t>tests/balances.spec.ts</t>
        </is>
      </c>
      <c r="C11" s="8" t="n">
        <v>99</v>
      </c>
      <c r="D11" s="8" t="inlineStr">
        <is>
          <t>Positive / extra</t>
        </is>
      </c>
      <c r="E11" s="8" t="inlineStr">
        <is>
          <t>POST /v2/portfolio/balances</t>
        </is>
      </c>
      <c r="F11" s="8" t="inlineStr">
        <is>
          <t>supports currency chf with a consistent net worth</t>
        </is>
      </c>
      <c r="G11" s="8" t="inlineStr">
        <is>
          <t>G-06</t>
        </is>
      </c>
      <c r="H11" s="8" t="inlineStr">
        <is>
          <t>POST /v2/portfolio/balances</t>
        </is>
      </c>
      <c r="I11" s="8" t="inlineStr">
        <is>
          <t>Passed</t>
        </is>
      </c>
    </row>
    <row r="12">
      <c r="A12" s="8" t="n">
        <v>11</v>
      </c>
      <c r="B12" s="8" t="inlineStr">
        <is>
          <t>tests/balances.spec.ts</t>
        </is>
      </c>
      <c r="C12" s="8" t="n">
        <v>99</v>
      </c>
      <c r="D12" s="8" t="inlineStr">
        <is>
          <t>Positive / extra</t>
        </is>
      </c>
      <c r="E12" s="8" t="inlineStr">
        <is>
          <t>POST /v2/portfolio/balances</t>
        </is>
      </c>
      <c r="F12" s="8" t="inlineStr">
        <is>
          <t>supports currency aud with a consistent net worth</t>
        </is>
      </c>
      <c r="G12" s="8" t="inlineStr">
        <is>
          <t>G-06</t>
        </is>
      </c>
      <c r="H12" s="8" t="inlineStr">
        <is>
          <t>POST /v2/portfolio/balances</t>
        </is>
      </c>
      <c r="I12" s="8" t="inlineStr">
        <is>
          <t>Passed</t>
        </is>
      </c>
    </row>
    <row r="13">
      <c r="A13" s="8" t="n">
        <v>12</v>
      </c>
      <c r="B13" s="8" t="inlineStr">
        <is>
          <t>tests/balances.spec.ts</t>
        </is>
      </c>
      <c r="C13" s="8" t="n">
        <v>99</v>
      </c>
      <c r="D13" s="8" t="inlineStr">
        <is>
          <t>Positive / extra</t>
        </is>
      </c>
      <c r="E13" s="8" t="inlineStr">
        <is>
          <t>POST /v2/portfolio/balances</t>
        </is>
      </c>
      <c r="F13" s="8" t="inlineStr">
        <is>
          <t>supports currency cad with a consistent net worth</t>
        </is>
      </c>
      <c r="G13" s="8" t="inlineStr">
        <is>
          <t>G-06</t>
        </is>
      </c>
      <c r="H13" s="8" t="inlineStr">
        <is>
          <t>POST /v2/portfolio/balances</t>
        </is>
      </c>
      <c r="I13" s="8" t="inlineStr">
        <is>
          <t>Passed</t>
        </is>
      </c>
    </row>
    <row r="14">
      <c r="A14" s="8" t="n">
        <v>13</v>
      </c>
      <c r="B14" s="8" t="inlineStr">
        <is>
          <t>tests/balances.spec.ts</t>
        </is>
      </c>
      <c r="C14" s="8" t="n">
        <v>99</v>
      </c>
      <c r="D14" s="8" t="inlineStr">
        <is>
          <t>Positive / extra</t>
        </is>
      </c>
      <c r="E14" s="8" t="inlineStr">
        <is>
          <t>POST /v2/portfolio/balances</t>
        </is>
      </c>
      <c r="F14" s="8" t="inlineStr">
        <is>
          <t>supports currency inr with a consistent net worth</t>
        </is>
      </c>
      <c r="G14" s="8" t="inlineStr">
        <is>
          <t>G-06</t>
        </is>
      </c>
      <c r="H14" s="8" t="inlineStr">
        <is>
          <t>POST /v2/portfolio/balances</t>
        </is>
      </c>
      <c r="I14" s="8" t="inlineStr">
        <is>
          <t>Passed</t>
        </is>
      </c>
    </row>
    <row r="15">
      <c r="A15" s="8" t="n">
        <v>14</v>
      </c>
      <c r="B15" s="8" t="inlineStr">
        <is>
          <t>tests/balances.spec.ts</t>
        </is>
      </c>
      <c r="C15" s="8" t="n">
        <v>110</v>
      </c>
      <c r="D15" s="8" t="inlineStr">
        <is>
          <t>Positive / extra</t>
        </is>
      </c>
      <c r="E15" s="8" t="inlineStr">
        <is>
          <t>POST /v2/portfolio/balances</t>
        </is>
      </c>
      <c r="F15" s="8" t="inlineStr">
        <is>
          <t>returns every wallet and a consistent net worth on devnet</t>
        </is>
      </c>
      <c r="G15" s="8" t="inlineStr">
        <is>
          <t>G-05</t>
        </is>
      </c>
      <c r="H15" s="8" t="inlineStr">
        <is>
          <t>POST /v2/portfolio/balances</t>
        </is>
      </c>
      <c r="I15" s="8" t="inlineStr">
        <is>
          <t>Passed</t>
        </is>
      </c>
    </row>
    <row r="16">
      <c r="A16" s="8" t="n">
        <v>15</v>
      </c>
      <c r="B16" s="8" t="inlineStr">
        <is>
          <t>tests/balances.spec.ts</t>
        </is>
      </c>
      <c r="C16" s="8" t="n">
        <v>110</v>
      </c>
      <c r="D16" s="8" t="inlineStr">
        <is>
          <t>Positive / extra</t>
        </is>
      </c>
      <c r="E16" s="8" t="inlineStr">
        <is>
          <t>POST /v2/portfolio/balances</t>
        </is>
      </c>
      <c r="F16" s="8" t="inlineStr">
        <is>
          <t>returns every wallet and a consistent net worth on testnet</t>
        </is>
      </c>
      <c r="G16" s="8" t="inlineStr">
        <is>
          <t>G-05</t>
        </is>
      </c>
      <c r="H16" s="8" t="inlineStr">
        <is>
          <t>POST /v2/portfolio/balances</t>
        </is>
      </c>
      <c r="I16" s="8" t="inlineStr">
        <is>
          <t>Passed</t>
        </is>
      </c>
    </row>
    <row r="17">
      <c r="A17" s="8" t="n">
        <v>16</v>
      </c>
      <c r="B17" s="8" t="inlineStr">
        <is>
          <t>tests/balances.spec.ts</t>
        </is>
      </c>
      <c r="C17" s="8" t="n">
        <v>121</v>
      </c>
      <c r="D17" s="8" t="inlineStr">
        <is>
          <t>Negative</t>
        </is>
      </c>
      <c r="E17" s="8" t="inlineStr">
        <is>
          <t>POST /v2/portfolio/balances</t>
        </is>
      </c>
      <c r="F17" s="8" t="inlineStr">
        <is>
          <t>rejects addresses without the `1` prefix with 400</t>
        </is>
      </c>
      <c r="G17" s="8" t="inlineStr">
        <is>
          <t>G-05</t>
        </is>
      </c>
      <c r="H17" s="8" t="inlineStr">
        <is>
          <t>POST /v2/portfolio/balances › negative cases</t>
        </is>
      </c>
      <c r="I17" s="8" t="inlineStr">
        <is>
          <t>Passed</t>
        </is>
      </c>
    </row>
    <row r="18">
      <c r="A18" s="8" t="n">
        <v>17</v>
      </c>
      <c r="B18" s="8" t="inlineStr">
        <is>
          <t>tests/balances.spec.ts</t>
        </is>
      </c>
      <c r="C18" s="8" t="n">
        <v>128</v>
      </c>
      <c r="D18" s="8" t="inlineStr">
        <is>
          <t>Negative</t>
        </is>
      </c>
      <c r="E18" s="8" t="inlineStr">
        <is>
          <t>POST /v2/portfolio/balances</t>
        </is>
      </c>
      <c r="F18" s="8" t="inlineStr">
        <is>
          <t>rejects an unsupported currency with 422</t>
        </is>
      </c>
      <c r="G18" s="8" t="inlineStr">
        <is>
          <t>G-06</t>
        </is>
      </c>
      <c r="H18" s="8" t="inlineStr">
        <is>
          <t>POST /v2/portfolio/balances › negative cases</t>
        </is>
      </c>
      <c r="I18" s="8" t="inlineStr">
        <is>
          <t>Passed</t>
        </is>
      </c>
    </row>
    <row r="19">
      <c r="A19" s="8" t="n">
        <v>18</v>
      </c>
      <c r="B19" s="8" t="inlineStr">
        <is>
          <t>tests/balances.spec.ts</t>
        </is>
      </c>
      <c r="C19" s="8" t="n">
        <v>135</v>
      </c>
      <c r="D19" s="8" t="inlineStr">
        <is>
          <t>Negative</t>
        </is>
      </c>
      <c r="E19" s="8" t="inlineStr">
        <is>
          <t>POST /v2/portfolio/balances</t>
        </is>
      </c>
      <c r="F19" s="8" t="inlineStr">
        <is>
          <t>rejects an unsupported network with 400</t>
        </is>
      </c>
      <c r="G19" s="8" t="inlineStr">
        <is>
          <t>G-05</t>
        </is>
      </c>
      <c r="H19" s="8" t="inlineStr">
        <is>
          <t>POST /v2/portfolio/balances › negative cases</t>
        </is>
      </c>
      <c r="I19" s="8" t="inlineStr">
        <is>
          <t>Passed</t>
        </is>
      </c>
    </row>
    <row r="20">
      <c r="A20" s="8" t="n">
        <v>19</v>
      </c>
      <c r="B20" s="8" t="inlineStr">
        <is>
          <t>tests/balances.spec.ts</t>
        </is>
      </c>
      <c r="C20" s="8" t="n">
        <v>142</v>
      </c>
      <c r="D20" s="8" t="inlineStr">
        <is>
          <t>Negative</t>
        </is>
      </c>
      <c r="E20" s="8" t="inlineStr">
        <is>
          <t>POST /v2/portfolio/balances</t>
        </is>
      </c>
      <c r="F20" s="8" t="inlineStr">
        <is>
          <t>rejects a body without pubkeys with 400</t>
        </is>
      </c>
      <c r="G20" s="8" t="inlineStr">
        <is>
          <t>G-05</t>
        </is>
      </c>
      <c r="H20" s="8" t="inlineStr">
        <is>
          <t>POST /v2/portfolio/balances › negative cases</t>
        </is>
      </c>
      <c r="I20" s="8" t="inlineStr">
        <is>
          <t>Passed</t>
        </is>
      </c>
    </row>
    <row r="21">
      <c r="A21" s="8" t="n">
        <v>20</v>
      </c>
      <c r="B21" s="8" t="inlineStr">
        <is>
          <t>tests/balances.spec.ts</t>
        </is>
      </c>
      <c r="C21" s="8" t="n">
        <v>150</v>
      </c>
      <c r="D21" s="8" t="inlineStr">
        <is>
          <t>Negative</t>
        </is>
      </c>
      <c r="E21" s="8" t="inlineStr">
        <is>
          <t>POST /v2/portfolio/balances</t>
        </is>
      </c>
      <c r="F21" s="8" t="inlineStr">
        <is>
          <t>rejects a request without Authorization header with 403</t>
        </is>
      </c>
      <c r="G21" s="8" t="inlineStr">
        <is>
          <t>G-02</t>
        </is>
      </c>
      <c r="H21" s="8" t="inlineStr">
        <is>
          <t>POST /v2/portfolio/balances › negative cases</t>
        </is>
      </c>
      <c r="I21" s="8" t="inlineStr">
        <is>
          <t>Passed</t>
        </is>
      </c>
    </row>
    <row r="22">
      <c r="A22" s="8" t="n">
        <v>21</v>
      </c>
      <c r="B22" s="8" t="inlineStr">
        <is>
          <t>tests/balances.spec.ts</t>
        </is>
      </c>
      <c r="C22" s="8" t="n">
        <v>156</v>
      </c>
      <c r="D22" s="8" t="inlineStr">
        <is>
          <t>Negative</t>
        </is>
      </c>
      <c r="E22" s="8" t="inlineStr">
        <is>
          <t>POST /v2/portfolio/balances</t>
        </is>
      </c>
      <c r="F22" s="8" t="inlineStr">
        <is>
          <t>rejects a public key with non-base58 characters with 400</t>
        </is>
      </c>
      <c r="G22" s="8" t="inlineStr">
        <is>
          <t>G-05</t>
        </is>
      </c>
      <c r="H22" s="8" t="inlineStr">
        <is>
          <t>POST /v2/portfolio/balances › negative cases</t>
        </is>
      </c>
      <c r="I22" s="8" t="inlineStr">
        <is>
          <t>Passed</t>
        </is>
      </c>
    </row>
    <row r="23">
      <c r="A23" s="8" t="n">
        <v>22</v>
      </c>
      <c r="B23" s="8" t="inlineStr">
        <is>
          <t>tests/balances.spec.ts</t>
        </is>
      </c>
      <c r="C23" s="8" t="n">
        <v>163</v>
      </c>
      <c r="D23" s="8" t="inlineStr">
        <is>
          <t>Negative</t>
        </is>
      </c>
      <c r="E23" s="8" t="inlineStr">
        <is>
          <t>POST /v2/portfolio/balances</t>
        </is>
      </c>
      <c r="F23" s="8" t="inlineStr">
        <is>
          <t>silently ignores a base58 string that is not a valid public key</t>
        </is>
      </c>
      <c r="G23" s="8" t="inlineStr">
        <is>
          <t>G-05</t>
        </is>
      </c>
      <c r="H23" s="8" t="inlineStr">
        <is>
          <t>POST /v2/portfolio/balances › negative cases</t>
        </is>
      </c>
      <c r="I23" s="8" t="inlineStr">
        <is>
          <t>Passed</t>
        </is>
      </c>
    </row>
    <row r="24">
      <c r="A24" s="8" t="n">
        <v>23</v>
      </c>
      <c r="B24" s="8" t="inlineStr">
        <is>
          <t>tests/tokens.spec.ts</t>
        </is>
      </c>
      <c r="C24" s="8" t="n">
        <v>12</v>
      </c>
      <c r="D24" s="8" t="inlineStr">
        <is>
          <t>Scenario 1</t>
        </is>
      </c>
      <c r="E24" s="8" t="inlineStr">
        <is>
          <t>GET /v3/portfolio/tokens/{address}</t>
        </is>
      </c>
      <c r="F24" s="8" t="inlineStr">
        <is>
          <t>Scenario 1: total portfolio value is correct for both addresses @scenario1</t>
        </is>
      </c>
      <c r="G24" s="8" t="inlineStr">
        <is>
          <t>G-01, G-04, S1-01, S1-02, S1-03, S1-04, S1-05</t>
        </is>
      </c>
      <c r="H24" s="8" t="inlineStr">
        <is>
          <t>GET /v3/portfolio/tokens/{address}</t>
        </is>
      </c>
      <c r="I24" s="8" t="inlineStr">
        <is>
          <t>Passed</t>
        </is>
      </c>
    </row>
    <row r="25">
      <c r="A25" s="8" t="n">
        <v>24</v>
      </c>
      <c r="B25" s="8" t="inlineStr">
        <is>
          <t>tests/tokens.spec.ts</t>
        </is>
      </c>
      <c r="C25" s="8" t="n">
        <v>37</v>
      </c>
      <c r="D25" s="8" t="inlineStr">
        <is>
          <t>Positive / extra</t>
        </is>
      </c>
      <c r="E25" s="8" t="inlineStr">
        <is>
          <t>GET /v3/portfolio/tokens/{address}</t>
        </is>
      </c>
      <c r="F25" s="8" t="inlineStr">
        <is>
          <t>tokens and stocks subtotals match their own tokens</t>
        </is>
      </c>
      <c r="G25" s="8" t="inlineStr">
        <is>
          <t>S1-05</t>
        </is>
      </c>
      <c r="H25" s="8" t="inlineStr">
        <is>
          <t>GET /v3/portfolio/tokens/{address}</t>
        </is>
      </c>
      <c r="I25" s="8" t="inlineStr">
        <is>
          <t>Passed</t>
        </is>
      </c>
    </row>
    <row r="26">
      <c r="A26" s="8" t="n">
        <v>25</v>
      </c>
      <c r="B26" s="8" t="inlineStr">
        <is>
          <t>tests/tokens.spec.ts</t>
        </is>
      </c>
      <c r="C26" s="8" t="n">
        <v>51</v>
      </c>
      <c r="D26" s="8" t="inlineStr">
        <is>
          <t>Positive / extra</t>
        </is>
      </c>
      <c r="E26" s="8" t="inlineStr">
        <is>
          <t>GET /v3/portfolio/tokens/{address}</t>
        </is>
      </c>
      <c r="F26" s="8" t="inlineStr">
        <is>
          <t>every token has a non-negative amount and a positive price when priced</t>
        </is>
      </c>
      <c r="G26" s="8" t="inlineStr">
        <is>
          <t>S1-04</t>
        </is>
      </c>
      <c r="H26" s="8" t="inlineStr">
        <is>
          <t>GET /v3/portfolio/tokens/{address}</t>
        </is>
      </c>
      <c r="I26" s="8" t="inlineStr">
        <is>
          <t>Passed</t>
        </is>
      </c>
    </row>
    <row r="27">
      <c r="A27" s="8" t="n">
        <v>26</v>
      </c>
      <c r="B27" s="8" t="inlineStr">
        <is>
          <t>tests/tokens.spec.ts</t>
        </is>
      </c>
      <c r="C27" s="8" t="n">
        <v>70</v>
      </c>
      <c r="D27" s="8" t="inlineStr">
        <is>
          <t>Positive / extra</t>
        </is>
      </c>
      <c r="E27" s="8" t="inlineStr">
        <is>
          <t>GET /v3/portfolio/tokens/{address}</t>
        </is>
      </c>
      <c r="F27" s="8" t="inlineStr">
        <is>
          <t>returns a valid, self-consistent response on devnet</t>
        </is>
      </c>
      <c r="G27" s="8" t="inlineStr">
        <is>
          <t>G-04</t>
        </is>
      </c>
      <c r="H27" s="8" t="inlineStr">
        <is>
          <t>GET /v3/portfolio/tokens/{address}</t>
        </is>
      </c>
      <c r="I27" s="8" t="inlineStr">
        <is>
          <t>Passed</t>
        </is>
      </c>
    </row>
    <row r="28">
      <c r="A28" s="8" t="n">
        <v>27</v>
      </c>
      <c r="B28" s="8" t="inlineStr">
        <is>
          <t>tests/tokens.spec.ts</t>
        </is>
      </c>
      <c r="C28" s="8" t="n">
        <v>70</v>
      </c>
      <c r="D28" s="8" t="inlineStr">
        <is>
          <t>Positive / extra</t>
        </is>
      </c>
      <c r="E28" s="8" t="inlineStr">
        <is>
          <t>GET /v3/portfolio/tokens/{address}</t>
        </is>
      </c>
      <c r="F28" s="8" t="inlineStr">
        <is>
          <t>returns a valid, self-consistent response on testnet</t>
        </is>
      </c>
      <c r="G28" s="8" t="inlineStr">
        <is>
          <t>G-04</t>
        </is>
      </c>
      <c r="H28" s="8" t="inlineStr">
        <is>
          <t>GET /v3/portfolio/tokens/{address}</t>
        </is>
      </c>
      <c r="I28" s="8" t="inlineStr">
        <is>
          <t>Passed</t>
        </is>
      </c>
    </row>
    <row r="29">
      <c r="A29" s="8" t="n">
        <v>28</v>
      </c>
      <c r="B29" s="8" t="inlineStr">
        <is>
          <t>tests/tokens.spec.ts</t>
        </is>
      </c>
      <c r="C29" s="8" t="n">
        <v>79</v>
      </c>
      <c r="D29" s="8" t="inlineStr">
        <is>
          <t>Positive / extra</t>
        </is>
      </c>
      <c r="E29" s="8" t="inlineStr">
        <is>
          <t>GET /v3/portfolio/tokens/{address}</t>
        </is>
      </c>
      <c r="F29" s="8" t="inlineStr">
        <is>
          <t>defaults to mainnet when the network parameter is omitted</t>
        </is>
      </c>
      <c r="G29" s="8" t="inlineStr">
        <is>
          <t>G-04</t>
        </is>
      </c>
      <c r="H29" s="8" t="inlineStr">
        <is>
          <t>GET /v3/portfolio/tokens/{address}</t>
        </is>
      </c>
      <c r="I29" s="8" t="inlineStr">
        <is>
          <t>Passed</t>
        </is>
      </c>
    </row>
    <row r="30">
      <c r="A30" s="8" t="n">
        <v>29</v>
      </c>
      <c r="B30" s="8" t="inlineStr">
        <is>
          <t>tests/tokens.spec.ts</t>
        </is>
      </c>
      <c r="C30" s="8" t="n">
        <v>94</v>
      </c>
      <c r="D30" s="8" t="inlineStr">
        <is>
          <t>Negative</t>
        </is>
      </c>
      <c r="E30" s="8" t="inlineStr">
        <is>
          <t>GET /v3/portfolio/tokens/{address}</t>
        </is>
      </c>
      <c r="F30" s="8" t="inlineStr">
        <is>
          <t>rejects an unsupported network with 400</t>
        </is>
      </c>
      <c r="G30" s="8" t="inlineStr">
        <is>
          <t>G-04</t>
        </is>
      </c>
      <c r="H30" s="8" t="inlineStr">
        <is>
          <t>GET /v3/portfolio/tokens/{address} › negative cases</t>
        </is>
      </c>
      <c r="I30" s="8" t="inlineStr">
        <is>
          <t>Passed</t>
        </is>
      </c>
    </row>
    <row r="31">
      <c r="A31" s="8" t="n">
        <v>30</v>
      </c>
      <c r="B31" s="8" t="inlineStr">
        <is>
          <t>tests/tokens.spec.ts</t>
        </is>
      </c>
      <c r="C31" s="8" t="n">
        <v>104</v>
      </c>
      <c r="D31" s="8" t="inlineStr">
        <is>
          <t>Negative</t>
        </is>
      </c>
      <c r="E31" s="8" t="inlineStr">
        <is>
          <t>GET /v3/portfolio/tokens/{address}</t>
        </is>
      </c>
      <c r="F31" s="8" t="inlineStr">
        <is>
          <t>rejects an invalid public key with 400</t>
        </is>
      </c>
      <c r="G31" s="8" t="inlineStr">
        <is>
          <t>G-04</t>
        </is>
      </c>
      <c r="H31" s="8" t="inlineStr">
        <is>
          <t>GET /v3/portfolio/tokens/{address} › negative cases</t>
        </is>
      </c>
      <c r="I31" s="8" t="inlineStr">
        <is>
          <t>Passed</t>
        </is>
      </c>
    </row>
    <row r="32">
      <c r="A32" s="8" t="n">
        <v>31</v>
      </c>
      <c r="B32" s="8" t="inlineStr">
        <is>
          <t>tests/tokens.spec.ts</t>
        </is>
      </c>
      <c r="C32" s="8" t="n">
        <v>111</v>
      </c>
      <c r="D32" s="8" t="inlineStr">
        <is>
          <t>Negative</t>
        </is>
      </c>
      <c r="E32" s="8" t="inlineStr">
        <is>
          <t>GET /v3/portfolio/tokens/{address}</t>
        </is>
      </c>
      <c r="F32" s="8" t="inlineStr">
        <is>
          <t>rejects a request without Authorization header with 403</t>
        </is>
      </c>
      <c r="G32" s="8" t="inlineStr">
        <is>
          <t>G-02</t>
        </is>
      </c>
      <c r="H32" s="8" t="inlineStr">
        <is>
          <t>GET /v3/portfolio/tokens/{address} › negative cases</t>
        </is>
      </c>
      <c r="I32" s="8" t="inlineStr">
        <is>
          <t>Passed</t>
        </is>
      </c>
    </row>
    <row r="33">
      <c r="A33" s="8" t="n">
        <v>32</v>
      </c>
      <c r="B33" s="8" t="inlineStr">
        <is>
          <t>tests/tokens.spec.ts</t>
        </is>
      </c>
      <c r="C33" s="8" t="n">
        <v>117</v>
      </c>
      <c r="D33" s="8" t="inlineStr">
        <is>
          <t>Negative</t>
        </is>
      </c>
      <c r="E33" s="8" t="inlineStr">
        <is>
          <t>GET /v3/portfolio/tokens/{address}</t>
        </is>
      </c>
      <c r="F33" s="8" t="inlineStr">
        <is>
          <t>rejects a Bearer token that is not a uuid with 403</t>
        </is>
      </c>
      <c r="G33" s="8" t="inlineStr">
        <is>
          <t>G-02</t>
        </is>
      </c>
      <c r="H33" s="8" t="inlineStr">
        <is>
          <t>GET /v3/portfolio/tokens/{address} › negative cases</t>
        </is>
      </c>
      <c r="I33" s="8" t="inlineStr">
        <is>
          <t>Passed</t>
        </is>
      </c>
    </row>
  </sheetData>
  <autoFilter ref="A1:I33"/>
  <conditionalFormatting sqref="I2:I33">
    <cfRule type="cellIs" priority="1" operator="equal" dxfId="0">
      <formula>"Covered"</formula>
    </cfRule>
    <cfRule type="cellIs" priority="2" operator="equal" dxfId="0">
      <formula>"Passed"</formula>
    </cfRule>
    <cfRule type="cellIs" priority="3" operator="equal" dxfId="1">
      <formula>"Partially covered"</formula>
    </cfRule>
    <cfRule type="cellIs" priority="4" operator="equal" dxfId="2">
      <formula>"Not covered"</formula>
    </cfRule>
    <cfRule type="cellIs" priority="5" operator="equal" dxfId="2">
      <formula>"Failed"</formula>
    </cfRule>
  </conditionalFormatting>
  <dataValidations count="1">
    <dataValidation sqref="I2:I33" showDropDown="0" showInputMessage="0" showErrorMessage="0" allowBlank="0" type="list">
      <formula1>"Passed,Failed,Skipped"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50" customWidth="1" min="5" max="5"/>
  </cols>
  <sheetData>
    <row r="1">
      <c r="A1" s="7" t="inlineStr">
        <is>
          <t>#</t>
        </is>
      </c>
      <c r="B1" s="7" t="inlineStr">
        <is>
          <t>Observation</t>
        </is>
      </c>
      <c r="C1" s="7" t="inlineStr">
        <is>
          <t>Evidence</t>
        </is>
      </c>
      <c r="D1" s="7" t="inlineStr">
        <is>
          <t>Impact</t>
        </is>
      </c>
      <c r="E1" s="7" t="inlineStr">
        <is>
          <t>Covered by test</t>
        </is>
      </c>
    </row>
    <row r="2">
      <c r="A2" s="8" t="n">
        <v>1</v>
      </c>
      <c r="B2" s="8" t="inlineStr">
        <is>
          <t>Inconsistent public key validation: GET /tokens/abc → 400, but POST /balances with '1abc' → 200 with the key silently dropped</t>
        </is>
      </c>
      <c r="C2" s="8" t="inlineStr">
        <is>
          <t>Base58 string of wrong length is ignored; non-base58 characters → 400 'Invalid pubkey data.'</t>
        </is>
      </c>
      <c r="D2" s="8" t="inlineStr">
        <is>
          <t>Medium</t>
        </is>
      </c>
      <c r="E2" s="8" t="inlineStr">
        <is>
          <t>silently ignores a base58 string that is not a valid public key</t>
        </is>
      </c>
    </row>
    <row r="3">
      <c r="A3" s="8" t="n">
        <v>2</v>
      </c>
      <c r="B3" s="8" t="inlineStr">
        <is>
          <t>'Bearer' prefix not enforced: a bare uuid as the Authorization value is accepted (200)</t>
        </is>
      </c>
      <c r="C3" s="8" t="inlineStr">
        <is>
          <t>Authorization: &lt;uuid&gt; without 'Bearer ' → 200</t>
        </is>
      </c>
      <c r="D3" s="8" t="inlineStr">
        <is>
          <t>Low</t>
        </is>
      </c>
      <c r="E3" s="8" t="inlineStr">
        <is>
          <t>(documented only)</t>
        </is>
      </c>
    </row>
    <row r="4">
      <c r="A4" s="8" t="n">
        <v>3</v>
      </c>
      <c r="B4" s="8" t="inlineStr">
        <is>
          <t>Error responses use three different formats</t>
        </is>
      </c>
      <c r="C4" s="8" t="inlineStr">
        <is>
          <t>{type,message,code,data} (validation), {error,status} (balances), Cloudflare HTML page (403/429)</t>
        </is>
      </c>
      <c r="D4" s="8" t="inlineStr">
        <is>
          <t>Low</t>
        </is>
      </c>
      <c r="E4" s="8" t="inlineStr">
        <is>
          <t>negative cases in both spec files</t>
        </is>
      </c>
    </row>
    <row r="5">
      <c r="A5" s="8" t="n">
        <v>4</v>
      </c>
      <c r="B5" s="8" t="inlineStr">
        <is>
          <t>Per-IP rate limit (Cloudflare) returns 429 with Retry-After up to ~120 s</t>
        </is>
      </c>
      <c r="C5" s="8" t="inlineStr">
        <is>
          <t>Two full runs back to back triggered 429; a fresh uuid does not help</t>
        </is>
      </c>
      <c r="D5" s="8" t="inlineStr">
        <is>
          <t>Test design</t>
        </is>
      </c>
      <c r="E5" s="8" t="inlineStr">
        <is>
          <t>handled in WalletApiClient (retry honouring Retry-After)</t>
        </is>
      </c>
    </row>
    <row r="6">
      <c r="A6" s="8" t="n">
        <v>5</v>
      </c>
      <c r="B6" s="8" t="inlineStr">
        <is>
          <t>Tokens without market data have no 'price' field (not price: null)</t>
        </is>
      </c>
      <c r="C6" s="8" t="inlineStr">
        <is>
          <t>e.g. ICSG, JUJI on 96Y3j…</t>
        </is>
      </c>
      <c r="D6" s="8" t="inlineStr">
        <is>
          <t>Low</t>
        </is>
      </c>
      <c r="E6" s="8" t="inlineStr">
        <is>
          <t>schema: price is nullish; counted as 0 in the total</t>
        </is>
      </c>
    </row>
    <row r="7">
      <c r="A7" s="8" t="n">
        <v>6</v>
      </c>
      <c r="B7" s="8" t="inlineStr">
        <is>
          <t>Currency parameter is case-insensitive ('USD' accepted)</t>
        </is>
      </c>
      <c r="C7" s="8" t="inlineStr">
        <is>
          <t>currency: 'USD' → 200, same values as 'usd'</t>
        </is>
      </c>
      <c r="D7" s="8" t="inlineStr">
        <is>
          <t>Info</t>
        </is>
      </c>
      <c r="E7" s="8" t="inlineStr">
        <is>
          <t>(documented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2026-10-26T12:41:28Z</dcterms:created>
  <dcterms:modified xmlns:dcterms="http://purl.org/dc/terms/" xmlns:xsi="http://www.w3.org/2001/XMLSchema-instance" xsi:type="dcterms:W3CDTF">2026-10-26T12:41:28Z</dcterms:modified>
</cp:coreProperties>
</file>